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65ca93905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ty Cash" sheetId="1" r:id="Ra8542528bfda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$#,##0.00;($#,##0.00);&quot;$0.00&quot;"/>
  </x:numFmts>
  <x:fonts count="8">
    <x:font>
      <x:sz val="11"/>
      <x:name val="Carlito"/>
    </x:font>
    <x:font>
      <x:sz val="11"/>
      <x:color rgb="FF172B3A"/>
      <x:name val="Arial"/>
    </x:font>
    <x:font>
      <x:b/>
      <x:sz val="16"/>
      <x:color rgb="FF237A31"/>
      <x:name val="Arial"/>
    </x:font>
    <x:font>
      <x:b/>
      <x:sz val="11"/>
      <x:color rgb="FF172B3A"/>
      <x:name val="Arial"/>
    </x:font>
    <x:font>
      <x:sz val="11"/>
      <x:color rgb="FF0055A4"/>
      <x:name val="Arial"/>
    </x:font>
    <x:font>
      <x:b/>
      <x:sz val="11"/>
      <x:color rgb="FFFFFFFF"/>
      <x:name val="Arial"/>
    </x:font>
    <x:font>
      <x:i/>
      <x:sz val="10"/>
      <x:color rgb="FF52615A"/>
      <x:name val="Arial"/>
    </x:font>
    <x:font>
      <x:sz val="10"/>
      <x:color rgb="FF5261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214B35"/>
      </x:patternFill>
    </x:fill>
    <x:fill>
      <x:patternFill patternType="solid">
        <x:fgColor rgb="FFE5EEE7"/>
      </x:patternFill>
    </x:fill>
  </x:fills>
  <x:borders count="4">
    <x:border/>
    <x:border>
      <x:bottom style="thin">
        <x:color rgb="FF237A31"/>
      </x:bottom>
    </x:border>
    <x:border>
      <x:top style="thin">
        <x:color rgb="FFA4B5A9"/>
      </x:top>
    </x:border>
    <x:border>
      <x:bottom style="thin">
        <x:color rgb="FFE3E8E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3" fillId="0" borderId="2" xfId="0" applyNumberFormat="1" applyFont="1" applyFill="1" applyBorder="1"/>
    <x:xf numFmtId="201" fontId="3" fillId="0" borderId="2" xfId="0" applyNumberFormat="1" applyFont="1" applyFill="1" applyBorder="1"/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2" borderId="3" xfId="0" applyNumberFormat="1" applyFont="1" applyFill="1" applyBorder="1"/>
    <x:xf numFmtId="0" fontId="4" fillId="2" borderId="3" xfId="0" applyNumberFormat="1" applyFont="1" applyFill="1" applyBorder="1"/>
    <x:xf numFmtId="201" fontId="4" fillId="2" borderId="3" xfId="0" applyNumberFormat="1" applyFont="1" applyFill="1" applyBorder="1"/>
    <x:xf numFmtId="201" fontId="3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32121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4646924b8487b" /><Relationship Type="http://schemas.openxmlformats.org/officeDocument/2006/relationships/theme" Target="/xl/theme/theme1.xml" Id="R56527a1a8d1d4295" /><Relationship Type="http://schemas.openxmlformats.org/officeDocument/2006/relationships/sharedStrings" Target="/xl/sharedStrings.xml" Id="R53a9f90a1ab048a5" /><Relationship Type="http://schemas.openxmlformats.org/officeDocument/2006/relationships/worksheet" Target="/xl/worksheets/sheet1.xml" Id="Ra8542528bfda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7" hidden="0" customWidth="1"/>
    <x:col min="3" max="3" width="18" hidden="0" customWidth="1"/>
    <x:col min="4" max="4" width="25" hidden="0" customWidth="1"/>
    <x:col min="5" max="5" width="32" hidden="0" customWidth="1"/>
    <x:col min="6" max="6" width="19" hidden="0" customWidth="1"/>
    <x:col min="7" max="7" width="20" hidden="0" customWidth="1"/>
    <x:col min="8" max="8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1"/>
      <x:c r="B2" s="2" t="str">
        <x:v>MARVOL ENTERPRISES LLC</x:v>
      </x:c>
      <x:c r="C2" s="1"/>
      <x:c r="D2" s="1"/>
      <x:c r="E2" s="1"/>
      <x:c r="F2" s="1"/>
      <x:c r="G2" s="1"/>
      <x:c r="H2" s="1"/>
    </x:row>
    <x:row r="3" ht="23" customHeight="1">
      <x:c r="A3" s="1"/>
      <x:c r="B3" s="4" t="str">
        <x:v>PETTY CASH RECONCILIATION FORM</x:v>
      </x:c>
      <x:c r="C3" s="5"/>
      <x:c r="D3" s="5"/>
      <x:c r="E3" s="5"/>
      <x:c r="F3" s="5"/>
      <x:c r="G3" s="5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 t="str">
        <x:v>Department / Location</x:v>
      </x:c>
      <x:c r="C5" s="7"/>
      <x:c r="D5" s="7"/>
      <x:c r="E5" s="1" t="str">
        <x:v>Petty Cash Custodian</x:v>
      </x:c>
      <x:c r="F5" s="7"/>
      <x:c r="G5" s="7"/>
      <x:c r="H5" s="1"/>
    </x:row>
    <x:row r="6" ht="23" customHeight="1">
      <x:c r="A6" s="1"/>
      <x:c r="B6" s="1" t="str">
        <x:v>Date</x:v>
      </x:c>
      <x:c r="C6" s="8"/>
      <x:c r="D6" s="7"/>
      <x:c r="E6" s="1" t="str">
        <x:v>Approved Float Amount ($)</x:v>
      </x:c>
      <x:c r="F6" s="9"/>
      <x:c r="G6" s="7"/>
      <x:c r="H6" s="1"/>
    </x:row>
    <x:row r="7" ht="23" customHeight="1">
      <x:c r="A7" s="1"/>
      <x:c r="B7" s="1"/>
      <x:c r="C7" s="1"/>
      <x:c r="D7" s="1"/>
      <x:c r="E7" s="1"/>
      <x:c r="F7" s="1"/>
      <x:c r="G7" s="1"/>
      <x:c r="H7" s="1"/>
    </x:row>
    <x:row r="8" ht="26" customHeight="1">
      <x:c r="A8" s="1"/>
      <x:c r="B8" s="11" t="str">
        <x:v>PETTY CASH SUMMARY</x:v>
      </x:c>
      <x:c r="C8" s="11"/>
      <x:c r="D8" s="11"/>
      <x:c r="E8" s="11"/>
      <x:c r="F8" s="11"/>
      <x:c r="G8" s="11"/>
      <x:c r="H8" s="1"/>
    </x:row>
    <x:row r="9" ht="23" customHeight="1">
      <x:c r="A9" s="1"/>
      <x:c r="B9" s="1" t="str">
        <x:v>Opening Float</x:v>
      </x:c>
      <x:c r="C9" s="1"/>
      <x:c r="D9" s="1"/>
      <x:c r="E9" s="1"/>
      <x:c r="F9" s="9"/>
      <x:c r="G9" s="1"/>
      <x:c r="H9" s="1"/>
    </x:row>
    <x:row r="10" ht="23" customHeight="1">
      <x:c r="A10" s="1"/>
      <x:c r="B10" s="1" t="str">
        <x:v>Total Receipts/Vouchers</x:v>
      </x:c>
      <x:c r="C10" s="1"/>
      <x:c r="D10" s="1"/>
      <x:c r="E10" s="1"/>
      <x:c r="F10" s="12" t="str">
        <x:f>IF(COUNT(F19:F38)=0,"",SUM(F19:F38))</x:f>
      </x:c>
      <x:c r="G10" s="1"/>
      <x:c r="H10" s="1"/>
    </x:row>
    <x:row r="11" ht="23" customHeight="1">
      <x:c r="A11" s="1"/>
      <x:c r="B11" s="1" t="str">
        <x:v>Cash on Hand</x:v>
      </x:c>
      <x:c r="C11" s="1"/>
      <x:c r="D11" s="1"/>
      <x:c r="E11" s="1"/>
      <x:c r="F11" s="9"/>
      <x:c r="G11" s="1"/>
      <x:c r="H11" s="1"/>
    </x:row>
    <x:row r="12" ht="23" customHeight="1">
      <x:c r="A12" s="1"/>
      <x:c r="B12" s="1" t="str">
        <x:v>Expected Balance</x:v>
      </x:c>
      <x:c r="C12" s="1"/>
      <x:c r="D12" s="1"/>
      <x:c r="E12" s="1"/>
      <x:c r="F12" s="12" t="str">
        <x:f>IF(F9="","",F9-SUM(F19:F38))</x:f>
      </x:c>
      <x:c r="G12" s="1"/>
      <x:c r="H12" s="1"/>
    </x:row>
    <x:row r="13" ht="23" customHeight="1">
      <x:c r="A13" s="1"/>
      <x:c r="B13" s="1" t="str">
        <x:v>Actual Balance</x:v>
      </x:c>
      <x:c r="C13" s="1"/>
      <x:c r="D13" s="1"/>
      <x:c r="E13" s="1"/>
      <x:c r="F13" s="12" t="str">
        <x:f>IF(F11="","",F11)</x:f>
      </x:c>
      <x:c r="G13" s="1"/>
      <x:c r="H13" s="1"/>
    </x:row>
    <x:row r="14" ht="23" customHeight="1">
      <x:c r="A14" s="1"/>
      <x:c r="B14" s="15" t="str">
        <x:v>Over / Short</x:v>
      </x:c>
      <x:c r="C14" s="15"/>
      <x:c r="D14" s="15"/>
      <x:c r="E14" s="15"/>
      <x:c r="F14" s="16" t="str">
        <x:f>IF(OR(F12="",F13=""),"",ROUND(F13-F12,2))</x:f>
      </x:c>
      <x:c r="G14" s="15"/>
      <x:c r="H14" s="1"/>
    </x:row>
    <x:row r="15" ht="23" customHeight="1">
      <x:c r="A15" s="1"/>
      <x:c r="B15" s="17" t="str">
        <x:v>Expected balance = opening float less receipts. Over / short = cash on hand less expected balance.</x:v>
      </x:c>
      <x:c r="C15" s="17"/>
      <x:c r="D15" s="17"/>
      <x:c r="E15" s="17"/>
      <x:c r="F15" s="17"/>
      <x:c r="G15" s="17"/>
      <x:c r="H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6" customHeight="1">
      <x:c r="A17" s="1"/>
      <x:c r="B17" s="11" t="str">
        <x:v>PETTY CASH EXPENSE DETAILS</x:v>
      </x:c>
      <x:c r="C17" s="11"/>
      <x:c r="D17" s="11"/>
      <x:c r="E17" s="11"/>
      <x:c r="F17" s="11"/>
      <x:c r="G17" s="11"/>
      <x:c r="H17" s="1"/>
    </x:row>
    <x:row r="18" ht="32" customHeight="1">
      <x:c r="A18" s="1"/>
      <x:c r="B18" s="21" t="str">
        <x:v>Date</x:v>
      </x:c>
      <x:c r="C18" s="21" t="str">
        <x:v>Receipt / Voucher #</x:v>
      </x:c>
      <x:c r="D18" s="21" t="str">
        <x:v>Payee</x:v>
      </x:c>
      <x:c r="E18" s="21" t="str">
        <x:v>Details / Notes</x:v>
      </x:c>
      <x:c r="F18" s="21" t="str">
        <x:v>Amount ($)</x:v>
      </x:c>
      <x:c r="G18" s="21" t="str">
        <x:v>Receipt Attached</x:v>
      </x:c>
      <x:c r="H18" s="1"/>
    </x:row>
    <x:row r="19" ht="23" customHeight="1">
      <x:c r="A19" s="1"/>
      <x:c r="B19" s="22"/>
      <x:c r="C19" s="23"/>
      <x:c r="D19" s="23"/>
      <x:c r="E19" s="23"/>
      <x:c r="F19" s="24"/>
      <x:c r="G19" s="23"/>
      <x:c r="H19" s="1"/>
    </x:row>
    <x:row r="20" ht="23" customHeight="1">
      <x:c r="A20" s="1"/>
      <x:c r="B20" s="22"/>
      <x:c r="C20" s="23"/>
      <x:c r="D20" s="23"/>
      <x:c r="E20" s="23"/>
      <x:c r="F20" s="24"/>
      <x:c r="G20" s="23"/>
      <x:c r="H20" s="1"/>
    </x:row>
    <x:row r="21" ht="23" customHeight="1">
      <x:c r="A21" s="1"/>
      <x:c r="B21" s="22"/>
      <x:c r="C21" s="23"/>
      <x:c r="D21" s="23"/>
      <x:c r="E21" s="23"/>
      <x:c r="F21" s="24"/>
      <x:c r="G21" s="23"/>
      <x:c r="H21" s="1"/>
    </x:row>
    <x:row r="22" ht="23" customHeight="1">
      <x:c r="A22" s="1"/>
      <x:c r="B22" s="22"/>
      <x:c r="C22" s="23"/>
      <x:c r="D22" s="23"/>
      <x:c r="E22" s="23"/>
      <x:c r="F22" s="24"/>
      <x:c r="G22" s="23"/>
      <x:c r="H22" s="1"/>
    </x:row>
    <x:row r="23" ht="23" customHeight="1">
      <x:c r="A23" s="1"/>
      <x:c r="B23" s="22"/>
      <x:c r="C23" s="23"/>
      <x:c r="D23" s="23"/>
      <x:c r="E23" s="23"/>
      <x:c r="F23" s="24"/>
      <x:c r="G23" s="23"/>
      <x:c r="H23" s="1"/>
    </x:row>
    <x:row r="24" ht="23" customHeight="1">
      <x:c r="A24" s="1"/>
      <x:c r="B24" s="22"/>
      <x:c r="C24" s="23"/>
      <x:c r="D24" s="23"/>
      <x:c r="E24" s="23"/>
      <x:c r="F24" s="24"/>
      <x:c r="G24" s="23"/>
      <x:c r="H24" s="1"/>
    </x:row>
    <x:row r="25" ht="23" customHeight="1">
      <x:c r="A25" s="1"/>
      <x:c r="B25" s="22"/>
      <x:c r="C25" s="23"/>
      <x:c r="D25" s="23"/>
      <x:c r="E25" s="23"/>
      <x:c r="F25" s="24"/>
      <x:c r="G25" s="23"/>
      <x:c r="H25" s="1"/>
    </x:row>
    <x:row r="26" ht="23" customHeight="1">
      <x:c r="A26" s="1"/>
      <x:c r="B26" s="22"/>
      <x:c r="C26" s="23"/>
      <x:c r="D26" s="23"/>
      <x:c r="E26" s="23"/>
      <x:c r="F26" s="24"/>
      <x:c r="G26" s="23"/>
      <x:c r="H26" s="1"/>
    </x:row>
    <x:row r="27" ht="23" customHeight="1">
      <x:c r="A27" s="1"/>
      <x:c r="B27" s="22"/>
      <x:c r="C27" s="23"/>
      <x:c r="D27" s="23"/>
      <x:c r="E27" s="23"/>
      <x:c r="F27" s="24"/>
      <x:c r="G27" s="23"/>
      <x:c r="H27" s="1"/>
    </x:row>
    <x:row r="28" ht="23" customHeight="1">
      <x:c r="A28" s="1"/>
      <x:c r="B28" s="22"/>
      <x:c r="C28" s="23"/>
      <x:c r="D28" s="23"/>
      <x:c r="E28" s="23"/>
      <x:c r="F28" s="24"/>
      <x:c r="G28" s="23"/>
      <x:c r="H28" s="1"/>
    </x:row>
    <x:row r="29" ht="23" customHeight="1">
      <x:c r="A29" s="1"/>
      <x:c r="B29" s="22"/>
      <x:c r="C29" s="23"/>
      <x:c r="D29" s="23"/>
      <x:c r="E29" s="23"/>
      <x:c r="F29" s="24"/>
      <x:c r="G29" s="23"/>
      <x:c r="H29" s="1"/>
    </x:row>
    <x:row r="30" ht="23" customHeight="1">
      <x:c r="A30" s="1"/>
      <x:c r="B30" s="22"/>
      <x:c r="C30" s="23"/>
      <x:c r="D30" s="23"/>
      <x:c r="E30" s="23"/>
      <x:c r="F30" s="24"/>
      <x:c r="G30" s="23"/>
      <x:c r="H30" s="1"/>
    </x:row>
    <x:row r="31" ht="23" customHeight="1">
      <x:c r="A31" s="1"/>
      <x:c r="B31" s="22"/>
      <x:c r="C31" s="23"/>
      <x:c r="D31" s="23"/>
      <x:c r="E31" s="23"/>
      <x:c r="F31" s="24"/>
      <x:c r="G31" s="23"/>
      <x:c r="H31" s="1"/>
    </x:row>
    <x:row r="32" ht="23" customHeight="1">
      <x:c r="A32" s="1"/>
      <x:c r="B32" s="22"/>
      <x:c r="C32" s="23"/>
      <x:c r="D32" s="23"/>
      <x:c r="E32" s="23"/>
      <x:c r="F32" s="24"/>
      <x:c r="G32" s="23"/>
      <x:c r="H32" s="1"/>
    </x:row>
    <x:row r="33" ht="23" customHeight="1">
      <x:c r="A33" s="1"/>
      <x:c r="B33" s="22"/>
      <x:c r="C33" s="23"/>
      <x:c r="D33" s="23"/>
      <x:c r="E33" s="23"/>
      <x:c r="F33" s="24"/>
      <x:c r="G33" s="23"/>
      <x:c r="H33" s="1"/>
    </x:row>
    <x:row r="34" ht="23" customHeight="1">
      <x:c r="A34" s="1"/>
      <x:c r="B34" s="22"/>
      <x:c r="C34" s="23"/>
      <x:c r="D34" s="23"/>
      <x:c r="E34" s="23"/>
      <x:c r="F34" s="24"/>
      <x:c r="G34" s="23"/>
      <x:c r="H34" s="1"/>
    </x:row>
    <x:row r="35" ht="23" customHeight="1">
      <x:c r="A35" s="1"/>
      <x:c r="B35" s="22"/>
      <x:c r="C35" s="23"/>
      <x:c r="D35" s="23"/>
      <x:c r="E35" s="23"/>
      <x:c r="F35" s="24"/>
      <x:c r="G35" s="23"/>
      <x:c r="H35" s="1"/>
    </x:row>
    <x:row r="36" ht="23" customHeight="1">
      <x:c r="A36" s="1"/>
      <x:c r="B36" s="22"/>
      <x:c r="C36" s="23"/>
      <x:c r="D36" s="23"/>
      <x:c r="E36" s="23"/>
      <x:c r="F36" s="24"/>
      <x:c r="G36" s="23"/>
      <x:c r="H36" s="1"/>
    </x:row>
    <x:row r="37" ht="23" customHeight="1">
      <x:c r="A37" s="1"/>
      <x:c r="B37" s="22"/>
      <x:c r="C37" s="23"/>
      <x:c r="D37" s="23"/>
      <x:c r="E37" s="23"/>
      <x:c r="F37" s="24"/>
      <x:c r="G37" s="23"/>
      <x:c r="H37" s="1"/>
    </x:row>
    <x:row r="38" ht="23" customHeight="1">
      <x:c r="A38" s="1"/>
      <x:c r="B38" s="22"/>
      <x:c r="C38" s="23"/>
      <x:c r="D38" s="23"/>
      <x:c r="E38" s="23"/>
      <x:c r="F38" s="24"/>
      <x:c r="G38" s="23"/>
      <x:c r="H38" s="1"/>
    </x:row>
    <x:row r="39" ht="23" customHeight="1">
      <x:c r="A39" s="1"/>
      <x:c r="B39" s="1"/>
      <x:c r="C39" s="1"/>
      <x:c r="D39" s="1"/>
      <x:c r="E39" s="3" t="str">
        <x:v>Total Receipts/Vouchers</x:v>
      </x:c>
      <x:c r="F39" s="25" t="str">
        <x:f>IF(COUNT(F19:F38)=0,"",SUM(F19:F38))</x:f>
      </x:c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6" customHeight="1">
      <x:c r="A41" s="1"/>
      <x:c r="B41" s="11" t="str">
        <x:v>CUSTODIAN CONFIRMATION</x:v>
      </x:c>
      <x:c r="C41" s="11"/>
      <x:c r="D41" s="11"/>
      <x:c r="E41" s="11"/>
      <x:c r="F41" s="11"/>
      <x:c r="G41" s="11"/>
      <x:c r="H41" s="1"/>
    </x:row>
    <x:row r="42" ht="23" customHeight="1">
      <x:c r="A42" s="1"/>
      <x:c r="B42" s="1" t="str">
        <x:v>Custodian Name</x:v>
      </x:c>
      <x:c r="C42" s="7"/>
      <x:c r="D42" s="1" t="str">
        <x:v>Signature</x:v>
      </x:c>
      <x:c r="E42" s="7"/>
      <x:c r="F42" s="1" t="str">
        <x:v>Date</x:v>
      </x:c>
      <x:c r="G42" s="8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6" customHeight="1">
      <x:c r="A44" s="1"/>
      <x:c r="B44" s="11" t="str">
        <x:v>MANAGER REVIEW &amp; APPROVAL</x:v>
      </x:c>
      <x:c r="C44" s="11"/>
      <x:c r="D44" s="11"/>
      <x:c r="E44" s="11"/>
      <x:c r="F44" s="11"/>
      <x:c r="G44" s="11"/>
      <x:c r="H44" s="1"/>
    </x:row>
    <x:row r="45" ht="23" customHeight="1">
      <x:c r="A45" s="1"/>
      <x:c r="B45" s="1" t="str">
        <x:v>Manager Name</x:v>
      </x:c>
      <x:c r="C45" s="7"/>
      <x:c r="D45" s="1" t="str">
        <x:v>Signature</x:v>
      </x:c>
      <x:c r="E45" s="7"/>
      <x:c r="F45" s="1" t="str">
        <x:v>Date</x:v>
      </x:c>
      <x:c r="G45" s="8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6" customHeight="1">
      <x:c r="A47" s="1"/>
      <x:c r="B47" s="11" t="str">
        <x:v>ACCOUNTING USE ONLY</x:v>
      </x:c>
      <x:c r="C47" s="11"/>
      <x:c r="D47" s="11"/>
      <x:c r="E47" s="11"/>
      <x:c r="F47" s="11"/>
      <x:c r="G47" s="11"/>
      <x:c r="H47" s="1"/>
    </x:row>
    <x:row r="48" ht="23" customHeight="1">
      <x:c r="A48" s="1"/>
      <x:c r="B48" s="1" t="str">
        <x:v>Amount to Be Reimbursed ($)</x:v>
      </x:c>
      <x:c r="C48" s="1"/>
      <x:c r="D48" s="1"/>
      <x:c r="E48" s="9"/>
      <x:c r="F48" s="7"/>
      <x:c r="G48" s="7"/>
      <x:c r="H48" s="1"/>
    </x:row>
    <x:row r="49" ht="23" customHeight="1">
      <x:c r="A49" s="1"/>
      <x:c r="B49" s="1" t="str">
        <x:v>Accounting Received By</x:v>
      </x:c>
      <x:c r="C49" s="1"/>
      <x:c r="D49" s="1"/>
      <x:c r="E49" s="7"/>
      <x:c r="F49" s="7"/>
      <x:c r="G49" s="7"/>
      <x:c r="H49" s="1"/>
    </x:row>
    <x:row r="50" ht="23" customHeight="1">
      <x:c r="A50" s="1"/>
      <x:c r="B50" s="1" t="str">
        <x:v>Date Processed</x:v>
      </x:c>
      <x:c r="C50" s="1"/>
      <x:c r="D50" s="1"/>
      <x:c r="E50" s="8"/>
      <x:c r="F50" s="7"/>
      <x:c r="G50" s="7"/>
      <x:c r="H50" s="1"/>
    </x:row>
    <x:row r="51" ht="23" customHeight="1">
      <x:c r="A51" s="1"/>
      <x:c r="B51" s="1" t="str">
        <x:v>Notes</x:v>
      </x:c>
      <x:c r="C51" s="1"/>
      <x:c r="D51" s="1"/>
      <x:c r="E51" s="7"/>
      <x:c r="F51" s="7"/>
      <x:c r="G51" s="7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26" t="str">
        <x:v>Yellow cells are editable. Enter each expense amount once. Attach receipts and complete approval fields.</x:v>
      </x:c>
      <x:c r="C53" s="26"/>
      <x:c r="D53" s="26"/>
      <x:c r="E53" s="26"/>
      <x:c r="F53" s="26"/>
      <x:c r="G53" s="26"/>
      <x:c r="H53" s="1"/>
    </x:row>
    <x:row r="54" ht="23" customHeight="1">
      <x:c r="A54" s="1"/>
      <x:c r="B54" s="26" t="str">
        <x:v>Source: Marvol_Petty_Cash_Reconciliation.docx. Amount to be reimbursed is an accounting input.</x:v>
      </x:c>
      <x:c r="C54" s="26"/>
      <x:c r="D54" s="26"/>
      <x:c r="E54" s="26"/>
      <x:c r="F54" s="26"/>
      <x:c r="G54" s="26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</x:sheetData>
  <x:mergeCells>
    <x:mergeCell ref="B2:G2"/>
    <x:mergeCell ref="B3:G3"/>
    <x:mergeCell ref="B8:G8"/>
    <x:mergeCell ref="B9:E9"/>
    <x:mergeCell ref="B10:E10"/>
    <x:mergeCell ref="B11:E11"/>
    <x:mergeCell ref="B12:E12"/>
    <x:mergeCell ref="B13:E13"/>
    <x:mergeCell ref="B14:E14"/>
    <x:mergeCell ref="B15:G15"/>
    <x:mergeCell ref="B17:G17"/>
    <x:mergeCell ref="B41:G41"/>
    <x:mergeCell ref="B44:G44"/>
    <x:mergeCell ref="B47:G47"/>
    <x:mergeCell ref="B48:D48"/>
    <x:mergeCell ref="B49:D49"/>
    <x:mergeCell ref="B50:D50"/>
    <x:mergeCell ref="B51:D51"/>
    <x:mergeCell ref="B53:G53"/>
    <x:mergeCell ref="B54:G54"/>
  </x:mergeCells>
  <x:conditionalFormatting sqref="F14:F14">
    <x:cfRule type="cellIs" dxfId="0" priority="1" operator="notEqual">
      <x:formula>0</x:formula>
    </x:cfRule>
  </x:conditionalFormatting>
  <x:dataValidations count="1">
    <x:dataValidation type="list" sqref="G19:G38">
      <x:formula1>"Yes,No"</x:formula1>
    </x:dataValidation>
  </x:dataValidations>
  <x:pageMargins left="0.7" right="0.7" top="0.75" bottom="0.75" header="0.3" footer="0.3"/>
</x:worksheet>
</file>